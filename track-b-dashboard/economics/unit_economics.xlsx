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eeder-flexibility-engine\track-b-dashboard\economics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1" l="1"/>
  <c r="D53" i="1"/>
  <c r="D52" i="1"/>
  <c r="D51" i="1"/>
  <c r="B45" i="1"/>
  <c r="B42" i="1"/>
  <c r="B37" i="1"/>
  <c r="B36" i="1"/>
  <c r="B30" i="1"/>
  <c r="B35" i="1"/>
  <c r="B24" i="1"/>
  <c r="B26" i="1" s="1"/>
  <c r="B27" i="1" s="1"/>
  <c r="B28" i="1" s="1"/>
  <c r="B18" i="1"/>
  <c r="B14" i="1"/>
  <c r="B15" i="1" s="1"/>
  <c r="B19" i="1" s="1"/>
  <c r="B5" i="1"/>
</calcChain>
</file>

<file path=xl/sharedStrings.xml><?xml version="1.0" encoding="utf-8"?>
<sst xmlns="http://schemas.openxmlformats.org/spreadsheetml/2006/main" count="41" uniqueCount="40">
  <si>
    <t>Baseline assumptions</t>
  </si>
  <si>
    <t>Feeder size (households)</t>
  </si>
  <si>
    <t>Avg demand per household (kW)</t>
  </si>
  <si>
    <t>Total feeder peak demand (kW)</t>
  </si>
  <si>
    <t>Genset runtime (hrs/day)</t>
  </si>
  <si>
    <t>Battery coverage of peak demand</t>
  </si>
  <si>
    <t>Diesel price (₹/litre)</t>
  </si>
  <si>
    <t>Status quo: diesel genset</t>
  </si>
  <si>
    <t>Fuel cost per hour (₹)</t>
  </si>
  <si>
    <t>Daily fuel cost (₹)</t>
  </si>
  <si>
    <t>Monthly fuel cost (₹)</t>
  </si>
  <si>
    <t>Genset upfront cost (₹)</t>
  </si>
  <si>
    <t>Amortization (months)</t>
  </si>
  <si>
    <t>Monthly genset cost (₹)</t>
  </si>
  <si>
    <t>Total monthly cost per household</t>
  </si>
  <si>
    <t>Proposed: shared battery</t>
  </si>
  <si>
    <t>Battery size needed (kWh)</t>
  </si>
  <si>
    <t>Battery cost per kWh (₹)</t>
  </si>
  <si>
    <t>Total battery cost (₹)</t>
  </si>
  <si>
    <t>Cost per household (₹)</t>
  </si>
  <si>
    <t>Monthly battery cost per household (₹)</t>
  </si>
  <si>
    <t>Software/maintenance per household per month (₹)</t>
  </si>
  <si>
    <t>Sustainability</t>
  </si>
  <si>
    <t>Comparison</t>
  </si>
  <si>
    <t>Monthly savings per household (₹)</t>
  </si>
  <si>
    <t>% cost reduction</t>
  </si>
  <si>
    <t>Annual savings per household (₹)</t>
  </si>
  <si>
    <t>Genset hours avoided per month</t>
  </si>
  <si>
    <t>Diesel litres per hour</t>
  </si>
  <si>
    <t>Emission factor (kg CO₂/litre)</t>
  </si>
  <si>
    <t>kg CO₂ avoided per household per month</t>
  </si>
  <si>
    <t>Sensitivity Check</t>
  </si>
  <si>
    <t>Scenario</t>
  </si>
  <si>
    <t>Battery Cost (₹/kWh)</t>
  </si>
  <si>
    <t>Genset hrs/day</t>
  </si>
  <si>
    <t>Savings</t>
  </si>
  <si>
    <t>Low estimate</t>
  </si>
  <si>
    <t>Base case (ours)</t>
  </si>
  <si>
    <t>High estimate</t>
  </si>
  <si>
    <t>Battery replacement cost (₹, amortized over 96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</si>
</sst>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zoomScale="77" zoomScaleNormal="77" workbookViewId="0">
      <selection activeCell="D19" sqref="D19"/>
    </sheetView>
  </sheetViews>
  <sheetFormatPr defaultRowHeight="15" x14ac:dyDescent="0.25"/>
  <cols>
    <col min="1" max="1" width="32.7109375" style="1" customWidth="1"/>
    <col min="2" max="2" width="21.140625" style="1" customWidth="1"/>
    <col min="3" max="3" width="18.28515625" style="1" customWidth="1"/>
    <col min="4" max="4" width="10.85546875" style="1" customWidth="1"/>
    <col min="5" max="16384" width="9.140625" style="1"/>
  </cols>
  <sheetData>
    <row r="1" spans="1:2" ht="18.75" x14ac:dyDescent="0.3">
      <c r="A1" s="9" t="s">
        <v>0</v>
      </c>
    </row>
    <row r="3" spans="1:2" ht="15.75" x14ac:dyDescent="0.25">
      <c r="A3" s="2" t="s">
        <v>1</v>
      </c>
      <c r="B3" s="4">
        <v>50</v>
      </c>
    </row>
    <row r="4" spans="1:2" ht="15.75" x14ac:dyDescent="0.25">
      <c r="A4" s="2" t="s">
        <v>2</v>
      </c>
      <c r="B4" s="4">
        <v>2</v>
      </c>
    </row>
    <row r="5" spans="1:2" ht="15.75" x14ac:dyDescent="0.25">
      <c r="A5" s="2" t="s">
        <v>3</v>
      </c>
      <c r="B5" s="4">
        <f>B3*B4</f>
        <v>100</v>
      </c>
    </row>
    <row r="6" spans="1:2" ht="15.75" x14ac:dyDescent="0.25">
      <c r="A6" s="2" t="s">
        <v>4</v>
      </c>
      <c r="B6" s="4">
        <v>3</v>
      </c>
    </row>
    <row r="7" spans="1:2" ht="15.75" x14ac:dyDescent="0.25">
      <c r="A7" s="2" t="s">
        <v>5</v>
      </c>
      <c r="B7" s="4">
        <v>0.3</v>
      </c>
    </row>
    <row r="8" spans="1:2" ht="15.75" x14ac:dyDescent="0.25">
      <c r="A8" s="2" t="s">
        <v>6</v>
      </c>
      <c r="B8" s="4">
        <v>90</v>
      </c>
    </row>
    <row r="11" spans="1:2" ht="18.75" x14ac:dyDescent="0.3">
      <c r="A11" s="9" t="s">
        <v>7</v>
      </c>
    </row>
    <row r="13" spans="1:2" ht="15.75" x14ac:dyDescent="0.25">
      <c r="A13" s="2" t="s">
        <v>8</v>
      </c>
      <c r="B13" s="4">
        <v>120</v>
      </c>
    </row>
    <row r="14" spans="1:2" ht="15.75" x14ac:dyDescent="0.25">
      <c r="A14" s="2" t="s">
        <v>9</v>
      </c>
      <c r="B14" s="4">
        <f>B6*B13</f>
        <v>360</v>
      </c>
    </row>
    <row r="15" spans="1:2" ht="15.75" x14ac:dyDescent="0.25">
      <c r="A15" s="2" t="s">
        <v>10</v>
      </c>
      <c r="B15" s="4">
        <f>B14*30</f>
        <v>10800</v>
      </c>
    </row>
    <row r="16" spans="1:2" ht="15.75" x14ac:dyDescent="0.25">
      <c r="A16" s="2" t="s">
        <v>11</v>
      </c>
      <c r="B16" s="4">
        <v>60000</v>
      </c>
    </row>
    <row r="17" spans="1:2" ht="15.75" x14ac:dyDescent="0.25">
      <c r="A17" s="2" t="s">
        <v>12</v>
      </c>
      <c r="B17" s="4">
        <v>60</v>
      </c>
    </row>
    <row r="18" spans="1:2" ht="15.75" x14ac:dyDescent="0.25">
      <c r="A18" s="2" t="s">
        <v>13</v>
      </c>
      <c r="B18" s="4">
        <f>B16/B17</f>
        <v>1000</v>
      </c>
    </row>
    <row r="19" spans="1:2" ht="15.75" x14ac:dyDescent="0.25">
      <c r="A19" s="2" t="s">
        <v>14</v>
      </c>
      <c r="B19" s="4">
        <f>B15+B18</f>
        <v>11800</v>
      </c>
    </row>
    <row r="22" spans="1:2" ht="18.75" x14ac:dyDescent="0.3">
      <c r="A22" s="9" t="s">
        <v>15</v>
      </c>
    </row>
    <row r="24" spans="1:2" ht="15.75" x14ac:dyDescent="0.25">
      <c r="A24" s="2" t="s">
        <v>16</v>
      </c>
      <c r="B24" s="5">
        <f>B5*B6*B7</f>
        <v>90</v>
      </c>
    </row>
    <row r="25" spans="1:2" ht="15.75" x14ac:dyDescent="0.25">
      <c r="A25" s="2" t="s">
        <v>17</v>
      </c>
      <c r="B25" s="5">
        <v>15000</v>
      </c>
    </row>
    <row r="26" spans="1:2" ht="15.75" x14ac:dyDescent="0.25">
      <c r="A26" s="2" t="s">
        <v>18</v>
      </c>
      <c r="B26" s="5">
        <f>B24*B25</f>
        <v>1350000</v>
      </c>
    </row>
    <row r="27" spans="1:2" ht="15.75" x14ac:dyDescent="0.25">
      <c r="A27" s="2" t="s">
        <v>19</v>
      </c>
      <c r="B27" s="5">
        <f>B26/B3</f>
        <v>27000</v>
      </c>
    </row>
    <row r="28" spans="1:2" ht="31.5" x14ac:dyDescent="0.25">
      <c r="A28" s="3" t="s">
        <v>20</v>
      </c>
      <c r="B28" s="5">
        <f>B27/B17</f>
        <v>450</v>
      </c>
    </row>
    <row r="29" spans="1:2" ht="31.5" x14ac:dyDescent="0.25">
      <c r="A29" s="3" t="s">
        <v>21</v>
      </c>
      <c r="B29" s="5">
        <v>100</v>
      </c>
    </row>
    <row r="30" spans="1:2" ht="15.75" x14ac:dyDescent="0.25">
      <c r="A30" s="2" t="s">
        <v>14</v>
      </c>
      <c r="B30" s="5">
        <f>B28+B29</f>
        <v>550</v>
      </c>
    </row>
    <row r="33" spans="1:2" ht="18.75" x14ac:dyDescent="0.3">
      <c r="A33" s="9" t="s">
        <v>23</v>
      </c>
    </row>
    <row r="35" spans="1:2" ht="15.75" x14ac:dyDescent="0.25">
      <c r="A35" s="2" t="s">
        <v>24</v>
      </c>
      <c r="B35" s="5">
        <f>B19-B30</f>
        <v>11250</v>
      </c>
    </row>
    <row r="36" spans="1:2" ht="15.75" x14ac:dyDescent="0.25">
      <c r="A36" s="2" t="s">
        <v>25</v>
      </c>
      <c r="B36" s="6">
        <f>B35/B19</f>
        <v>0.95338983050847459</v>
      </c>
    </row>
    <row r="37" spans="1:2" ht="15.75" x14ac:dyDescent="0.25">
      <c r="A37" s="2" t="s">
        <v>26</v>
      </c>
      <c r="B37" s="5">
        <f>B35*12</f>
        <v>135000</v>
      </c>
    </row>
    <row r="40" spans="1:2" ht="18.75" x14ac:dyDescent="0.3">
      <c r="A40" s="9" t="s">
        <v>22</v>
      </c>
    </row>
    <row r="42" spans="1:2" ht="15.75" x14ac:dyDescent="0.25">
      <c r="A42" s="2" t="s">
        <v>27</v>
      </c>
      <c r="B42" s="5">
        <f>B6*30</f>
        <v>90</v>
      </c>
    </row>
    <row r="43" spans="1:2" ht="15.75" x14ac:dyDescent="0.25">
      <c r="A43" s="2" t="s">
        <v>28</v>
      </c>
      <c r="B43" s="5">
        <v>1.3</v>
      </c>
    </row>
    <row r="44" spans="1:2" ht="15.75" x14ac:dyDescent="0.25">
      <c r="A44" s="2" t="s">
        <v>29</v>
      </c>
      <c r="B44" s="5">
        <v>2.68</v>
      </c>
    </row>
    <row r="45" spans="1:2" ht="31.5" x14ac:dyDescent="0.25">
      <c r="A45" s="3" t="s">
        <v>30</v>
      </c>
      <c r="B45" s="5">
        <f>B42*B43*B44</f>
        <v>313.56</v>
      </c>
    </row>
    <row r="48" spans="1:2" ht="18.75" x14ac:dyDescent="0.3">
      <c r="A48" s="9" t="s">
        <v>31</v>
      </c>
    </row>
    <row r="50" spans="1:4" ht="15.75" x14ac:dyDescent="0.25">
      <c r="A50" s="2" t="s">
        <v>32</v>
      </c>
      <c r="B50" s="4" t="s">
        <v>33</v>
      </c>
      <c r="C50" s="4" t="s">
        <v>34</v>
      </c>
      <c r="D50" s="4" t="s">
        <v>35</v>
      </c>
    </row>
    <row r="51" spans="1:4" ht="15.75" x14ac:dyDescent="0.25">
      <c r="A51" s="2" t="s">
        <v>36</v>
      </c>
      <c r="B51" s="4">
        <v>10000</v>
      </c>
      <c r="C51" s="4">
        <v>2</v>
      </c>
      <c r="D51" s="7">
        <f>((C51*120*30+B16/B17) - ((B5*C51*B7*B51)/B3/B17+B29)) / (C51*120*30+B16/B17)</f>
        <v>0.96341463414634143</v>
      </c>
    </row>
    <row r="52" spans="1:4" ht="15.75" x14ac:dyDescent="0.25">
      <c r="A52" s="2" t="s">
        <v>37</v>
      </c>
      <c r="B52" s="4">
        <v>15000</v>
      </c>
      <c r="C52" s="4">
        <v>3</v>
      </c>
      <c r="D52" s="7">
        <f>((C52*120*30+B16/B17) - ((B5*C52*B7*B52)/B3/B17+B29)) / (C52*120*30+B16/B17)</f>
        <v>0.95338983050847459</v>
      </c>
    </row>
    <row r="53" spans="1:4" ht="15.75" x14ac:dyDescent="0.25">
      <c r="A53" s="2" t="s">
        <v>38</v>
      </c>
      <c r="B53" s="4">
        <v>26000</v>
      </c>
      <c r="C53" s="4">
        <v>4</v>
      </c>
      <c r="D53" s="7">
        <f>((C53*120*30+B16/B17) - ((B5*C53*B7*B53)/B3/B17+B29)) / (C53*120*30+B16/B17)</f>
        <v>0.925974025974026</v>
      </c>
    </row>
    <row r="55" spans="1:4" ht="31.5" x14ac:dyDescent="0.25">
      <c r="A55" s="3" t="s">
        <v>39</v>
      </c>
      <c r="B55" s="8">
        <f>B26/96</f>
        <v>14062.5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2026-09-30T13:24:31Z</dcterms:created>
  <dcterms:modified xsi:type="dcterms:W3CDTF">2026-10-03T13:00:07Z</dcterms:modified>
</cp:coreProperties>
</file>